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uni-mainz.de\dfs\Profiles\Settings\mmajoe\Desktop\"/>
    </mc:Choice>
  </mc:AlternateContent>
  <xr:revisionPtr revIDLastSave="0" documentId="13_ncr:40009_{BE76BBC6-B19B-433B-93F0-82F2B42BC2F2}" xr6:coauthVersionLast="47" xr6:coauthVersionMax="47" xr10:uidLastSave="{00000000-0000-0000-0000-000000000000}"/>
  <bookViews>
    <workbookView xWindow="-120" yWindow="-120" windowWidth="29040" windowHeight="15840" activeTab="2"/>
  </bookViews>
  <sheets>
    <sheet name="Results_OvariesAvil" sheetId="1" r:id="rId1"/>
    <sheet name="Sheet2" sheetId="3" r:id="rId2"/>
    <sheet name="ToUse" sheetId="2" r:id="rId3"/>
  </sheets>
  <definedNames>
    <definedName name="_xlnm._FilterDatabase" localSheetId="0" hidden="1">Results_OvariesAvil!$A$1:$I$57</definedName>
    <definedName name="_xlnm._FilterDatabase" localSheetId="2" hidden="1">ToUse!$A$1:$D$14</definedName>
  </definedNames>
  <calcPr calcId="0"/>
  <pivotCaches>
    <pivotCache cacheId="8" r:id="rId4"/>
  </pivotCaches>
</workbook>
</file>

<file path=xl/calcChain.xml><?xml version="1.0" encoding="utf-8"?>
<calcChain xmlns="http://schemas.openxmlformats.org/spreadsheetml/2006/main">
  <c r="E12" i="2" l="1"/>
  <c r="E4" i="2"/>
  <c r="E5" i="2"/>
  <c r="E14" i="2"/>
  <c r="E2" i="2"/>
  <c r="E3" i="2"/>
  <c r="E9" i="2"/>
  <c r="E6" i="2"/>
  <c r="E7" i="2"/>
  <c r="E8" i="2"/>
  <c r="E13" i="2"/>
  <c r="E11" i="2"/>
  <c r="E10" i="2"/>
  <c r="I42" i="1"/>
  <c r="I50" i="1"/>
</calcChain>
</file>

<file path=xl/sharedStrings.xml><?xml version="1.0" encoding="utf-8"?>
<sst xmlns="http://schemas.openxmlformats.org/spreadsheetml/2006/main" count="91" uniqueCount="31">
  <si>
    <t xml:space="preserve"> </t>
  </si>
  <si>
    <t>Area</t>
  </si>
  <si>
    <t>Mean</t>
  </si>
  <si>
    <t>Min</t>
  </si>
  <si>
    <t>Max</t>
  </si>
  <si>
    <t>Length</t>
  </si>
  <si>
    <t>MeanOvLength</t>
  </si>
  <si>
    <t>12QO2</t>
  </si>
  <si>
    <t>13QO1</t>
  </si>
  <si>
    <t>13QO4</t>
  </si>
  <si>
    <t>22QO1</t>
  </si>
  <si>
    <t>NOSCALE</t>
  </si>
  <si>
    <t>23QY2</t>
  </si>
  <si>
    <t>23QY3</t>
  </si>
  <si>
    <t>25QY2</t>
  </si>
  <si>
    <t>25QY3</t>
  </si>
  <si>
    <t>21QY1</t>
  </si>
  <si>
    <t>22QO3</t>
  </si>
  <si>
    <t>26QY4</t>
  </si>
  <si>
    <t>26QY3</t>
  </si>
  <si>
    <t>Individual</t>
  </si>
  <si>
    <t>25QY1</t>
  </si>
  <si>
    <t>Age_Group</t>
  </si>
  <si>
    <t>Old</t>
  </si>
  <si>
    <t>Young</t>
  </si>
  <si>
    <t>Remarks</t>
  </si>
  <si>
    <t>Average of MeanOvLength</t>
  </si>
  <si>
    <t>random</t>
  </si>
  <si>
    <t>Consider</t>
  </si>
  <si>
    <t>KEEP</t>
  </si>
  <si>
    <t>NOPE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</si>
</sst>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[Results_OvariesAvil.xlsx]Sheet2!PivotTable5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Sheet2!$A$4:$A$5</c:f>
              <c:strCache>
                <c:ptCount val="2"/>
                <c:pt idx="0">
                  <c:v>Old</c:v>
                </c:pt>
                <c:pt idx="1">
                  <c:v>Young</c:v>
                </c:pt>
              </c:strCache>
            </c:strRef>
          </c:cat>
          <c:val>
            <c:numRef>
              <c:f>Sheet2!$B$4:$B$5</c:f>
              <c:numCache>
                <c:formatCode>General</c:formatCode>
                <c:ptCount val="2"/>
                <c:pt idx="0">
                  <c:v>3.9967999999999995</c:v>
                </c:pt>
                <c:pt idx="1">
                  <c:v>4.1300625000000011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EF-456D-BCD2-9C3EC389F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669392"/>
        <c:axId val="431670048"/>
      </c:barChart>
      <c:catAx>
        <c:axId val="43166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1670048"/>
        <c:crosses val="autoZero"/>
        <c:auto val="1"/>
        <c:lblAlgn val="ctr"/>
        <c:lblOffset val="100"/>
        <c:noMultiLvlLbl val="0"/>
      </c:catAx>
      <c:valAx>
        <c:axId val="43167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166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11</xdr:row>
      <xdr:rowOff>90487</xdr:rowOff>
    </xdr:from>
    <xdr:to>
      <xdr:col>16</xdr:col>
      <xdr:colOff>342900</xdr:colOff>
      <xdr:row>25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853B23-216E-ADEE-C1E8-78DC26B35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joe, Megha" refreshedDate="44862.438218634263" createdVersion="8" refreshedVersion="8" minRefreshableVersion="3" recordCount="13">
  <cacheSource type="worksheet">
    <worksheetSource ref="A1:D14" sheet="ToUse"/>
  </cacheSource>
  <cacheFields count="4">
    <cacheField name="Individual" numFmtId="0">
      <sharedItems/>
    </cacheField>
    <cacheField name="Remarks" numFmtId="0">
      <sharedItems containsBlank="1"/>
    </cacheField>
    <cacheField name="MeanOvLength" numFmtId="0">
      <sharedItems containsSemiMixedTypes="0" containsString="0" containsNumber="1" minValue="3.4984999999999999" maxValue="4.6317500000000003"/>
    </cacheField>
    <cacheField name="Age_Group" numFmtId="0">
      <sharedItems count="2">
        <s v="Old"/>
        <s v="You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s v="12QO2"/>
    <m/>
    <n v="4.1334999999999997"/>
    <x v="0"/>
  </r>
  <r>
    <s v="13QO1"/>
    <m/>
    <n v="3.4984999999999999"/>
    <x v="0"/>
  </r>
  <r>
    <s v="13QO4"/>
    <m/>
    <n v="3.86225"/>
    <x v="0"/>
  </r>
  <r>
    <s v="22QO1"/>
    <s v="NOSCALE"/>
    <n v="4.6317500000000003"/>
    <x v="0"/>
  </r>
  <r>
    <s v="23QY2"/>
    <m/>
    <n v="3.8042500000000001"/>
    <x v="1"/>
  </r>
  <r>
    <s v="23QY3"/>
    <s v="NOSCALE"/>
    <n v="4.5810000000000004"/>
    <x v="1"/>
  </r>
  <r>
    <s v="25QY2"/>
    <m/>
    <n v="3.9177499999999998"/>
    <x v="1"/>
  </r>
  <r>
    <s v="25QY3"/>
    <m/>
    <n v="4.3617499999999998"/>
    <x v="1"/>
  </r>
  <r>
    <s v="21QY1"/>
    <m/>
    <n v="3.9710000000000001"/>
    <x v="1"/>
  </r>
  <r>
    <s v="22QO3"/>
    <m/>
    <n v="3.8580000000000001"/>
    <x v="0"/>
  </r>
  <r>
    <s v="26QY4"/>
    <s v="NOSCALE"/>
    <n v="4.4320000000000004"/>
    <x v="1"/>
  </r>
  <r>
    <s v="26QY3"/>
    <s v="NOSCALE"/>
    <n v="3.9512499999999999"/>
    <x v="1"/>
  </r>
  <r>
    <s v="25QY1"/>
    <m/>
    <n v="4.021499999999999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5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2">
    <i>
      <x/>
    </i>
    <i>
      <x v="1"/>
    </i>
  </rowItems>
  <colItems count="1">
    <i/>
  </colItems>
  <dataFields count="1">
    <dataField name="Average of MeanOvLength" fld="2" subtotal="average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opLeftCell="A34" workbookViewId="0">
      <selection activeCell="I42" sqref="I42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</v>
      </c>
      <c r="I1" t="s">
        <v>6</v>
      </c>
    </row>
    <row r="2" spans="1:9" x14ac:dyDescent="0.25">
      <c r="A2">
        <v>1</v>
      </c>
      <c r="B2" s="1">
        <v>6.6699999999999995E-5</v>
      </c>
      <c r="C2">
        <v>91.64</v>
      </c>
      <c r="D2">
        <v>65.566999999999993</v>
      </c>
      <c r="E2">
        <v>117.667</v>
      </c>
      <c r="F2">
        <v>4.9969999999999999</v>
      </c>
      <c r="G2" t="s">
        <v>7</v>
      </c>
      <c r="I2">
        <v>4.1334999999999997</v>
      </c>
    </row>
    <row r="3" spans="1:9" x14ac:dyDescent="0.25">
      <c r="A3">
        <v>2</v>
      </c>
      <c r="B3" s="1">
        <v>5.5600000000000003E-5</v>
      </c>
      <c r="C3">
        <v>100.587</v>
      </c>
      <c r="D3">
        <v>33</v>
      </c>
      <c r="E3">
        <v>241.01499999999999</v>
      </c>
      <c r="F3">
        <v>3.9980000000000002</v>
      </c>
    </row>
    <row r="4" spans="1:9" x14ac:dyDescent="0.25">
      <c r="A4">
        <v>3</v>
      </c>
      <c r="B4" s="1">
        <v>5.5600000000000003E-5</v>
      </c>
      <c r="C4">
        <v>109.443</v>
      </c>
      <c r="D4">
        <v>30.667000000000002</v>
      </c>
      <c r="E4">
        <v>247.16499999999999</v>
      </c>
      <c r="F4">
        <v>3.74</v>
      </c>
    </row>
    <row r="5" spans="1:9" x14ac:dyDescent="0.25">
      <c r="A5">
        <v>4</v>
      </c>
      <c r="B5" s="1">
        <v>5.5600000000000003E-5</v>
      </c>
      <c r="C5">
        <v>106.944</v>
      </c>
      <c r="D5">
        <v>56.667000000000002</v>
      </c>
      <c r="E5">
        <v>153.96199999999999</v>
      </c>
      <c r="F5">
        <v>3.7989999999999999</v>
      </c>
      <c r="G5" t="s">
        <v>7</v>
      </c>
    </row>
    <row r="6" spans="1:9" x14ac:dyDescent="0.25">
      <c r="A6">
        <v>5</v>
      </c>
      <c r="B6" s="1">
        <v>5.5600000000000003E-5</v>
      </c>
      <c r="C6">
        <v>130.036</v>
      </c>
      <c r="D6">
        <v>85.332999999999998</v>
      </c>
      <c r="E6">
        <v>154.77500000000001</v>
      </c>
      <c r="F6">
        <v>3.6339999999999999</v>
      </c>
      <c r="G6" t="s">
        <v>8</v>
      </c>
      <c r="I6">
        <v>3.4984999999999999</v>
      </c>
    </row>
    <row r="7" spans="1:9" x14ac:dyDescent="0.25">
      <c r="A7">
        <v>6</v>
      </c>
      <c r="B7" s="1">
        <v>4.4400000000000002E-5</v>
      </c>
      <c r="C7">
        <v>131.13499999999999</v>
      </c>
      <c r="D7">
        <v>114.819</v>
      </c>
      <c r="E7">
        <v>161.38800000000001</v>
      </c>
      <c r="F7">
        <v>3.1269999999999998</v>
      </c>
    </row>
    <row r="8" spans="1:9" x14ac:dyDescent="0.25">
      <c r="A8">
        <v>7</v>
      </c>
      <c r="B8" s="1">
        <v>4.4400000000000002E-5</v>
      </c>
      <c r="C8">
        <v>132.91399999999999</v>
      </c>
      <c r="D8">
        <v>92.332999999999998</v>
      </c>
      <c r="E8">
        <v>149.56700000000001</v>
      </c>
      <c r="F8">
        <v>3.3450000000000002</v>
      </c>
    </row>
    <row r="9" spans="1:9" x14ac:dyDescent="0.25">
      <c r="A9">
        <v>8</v>
      </c>
      <c r="B9" s="1">
        <v>5.5600000000000003E-5</v>
      </c>
      <c r="C9">
        <v>124.292</v>
      </c>
      <c r="D9">
        <v>83</v>
      </c>
      <c r="E9">
        <v>157.31299999999999</v>
      </c>
      <c r="F9">
        <v>3.8879999999999999</v>
      </c>
      <c r="G9" t="s">
        <v>8</v>
      </c>
    </row>
    <row r="10" spans="1:9" x14ac:dyDescent="0.25">
      <c r="A10">
        <v>9</v>
      </c>
      <c r="B10" s="1">
        <v>5.5600000000000003E-5</v>
      </c>
      <c r="C10">
        <v>131.38300000000001</v>
      </c>
      <c r="D10">
        <v>123</v>
      </c>
      <c r="E10">
        <v>135.38399999999999</v>
      </c>
      <c r="F10">
        <v>4.0449999999999999</v>
      </c>
      <c r="G10" t="s">
        <v>9</v>
      </c>
      <c r="I10">
        <v>3.86225</v>
      </c>
    </row>
    <row r="11" spans="1:9" x14ac:dyDescent="0.25">
      <c r="A11">
        <v>10</v>
      </c>
      <c r="B11" s="1">
        <v>5.5600000000000003E-5</v>
      </c>
      <c r="C11">
        <v>131.68199999999999</v>
      </c>
      <c r="D11">
        <v>97.408000000000001</v>
      </c>
      <c r="E11">
        <v>154.97300000000001</v>
      </c>
      <c r="F11">
        <v>3.67</v>
      </c>
    </row>
    <row r="12" spans="1:9" x14ac:dyDescent="0.25">
      <c r="A12">
        <v>11</v>
      </c>
      <c r="B12" s="1">
        <v>5.5600000000000003E-5</v>
      </c>
      <c r="C12">
        <v>129.62700000000001</v>
      </c>
      <c r="D12">
        <v>74</v>
      </c>
      <c r="E12">
        <v>169.65799999999999</v>
      </c>
      <c r="F12">
        <v>4.3550000000000004</v>
      </c>
    </row>
    <row r="13" spans="1:9" x14ac:dyDescent="0.25">
      <c r="A13">
        <v>12</v>
      </c>
      <c r="B13" s="1">
        <v>4.4400000000000002E-5</v>
      </c>
      <c r="C13">
        <v>146.38399999999999</v>
      </c>
      <c r="D13">
        <v>125</v>
      </c>
      <c r="E13">
        <v>178.95500000000001</v>
      </c>
      <c r="F13">
        <v>3.379</v>
      </c>
      <c r="G13" t="s">
        <v>9</v>
      </c>
    </row>
    <row r="14" spans="1:9" x14ac:dyDescent="0.25">
      <c r="A14">
        <v>13</v>
      </c>
      <c r="B14" s="1">
        <v>6.6699999999999995E-5</v>
      </c>
      <c r="C14">
        <v>155.29900000000001</v>
      </c>
      <c r="D14">
        <v>134.667</v>
      </c>
      <c r="E14">
        <v>170.06200000000001</v>
      </c>
      <c r="F14">
        <v>4.5970000000000004</v>
      </c>
      <c r="G14" t="s">
        <v>10</v>
      </c>
      <c r="H14" t="s">
        <v>11</v>
      </c>
      <c r="I14">
        <v>4.6317500000000003</v>
      </c>
    </row>
    <row r="15" spans="1:9" x14ac:dyDescent="0.25">
      <c r="A15">
        <v>14</v>
      </c>
      <c r="B15" s="1">
        <v>5.5600000000000003E-5</v>
      </c>
      <c r="C15">
        <v>160.5</v>
      </c>
      <c r="D15">
        <v>135</v>
      </c>
      <c r="E15">
        <v>174.36799999999999</v>
      </c>
      <c r="F15">
        <v>4.0490000000000004</v>
      </c>
    </row>
    <row r="16" spans="1:9" x14ac:dyDescent="0.25">
      <c r="A16">
        <v>15</v>
      </c>
      <c r="B16" s="1">
        <v>6.6699999999999995E-5</v>
      </c>
      <c r="C16">
        <v>157.613</v>
      </c>
      <c r="D16">
        <v>144.471</v>
      </c>
      <c r="E16">
        <v>165.333</v>
      </c>
      <c r="F16">
        <v>4.83</v>
      </c>
    </row>
    <row r="17" spans="1:9" x14ac:dyDescent="0.25">
      <c r="A17">
        <v>16</v>
      </c>
      <c r="B17" s="1">
        <v>6.6699999999999995E-5</v>
      </c>
      <c r="C17">
        <v>145.399</v>
      </c>
      <c r="D17">
        <v>114</v>
      </c>
      <c r="E17">
        <v>161.88999999999999</v>
      </c>
      <c r="F17">
        <v>5.0510000000000002</v>
      </c>
      <c r="G17" t="s">
        <v>10</v>
      </c>
    </row>
    <row r="18" spans="1:9" x14ac:dyDescent="0.25">
      <c r="A18">
        <v>17</v>
      </c>
      <c r="B18" s="1">
        <v>5.5600000000000003E-5</v>
      </c>
      <c r="C18">
        <v>128.46199999999999</v>
      </c>
      <c r="D18">
        <v>104.333</v>
      </c>
      <c r="E18">
        <v>152.166</v>
      </c>
      <c r="F18">
        <v>3.7770000000000001</v>
      </c>
      <c r="G18" t="s">
        <v>12</v>
      </c>
      <c r="I18">
        <v>3.8042500000000001</v>
      </c>
    </row>
    <row r="19" spans="1:9" x14ac:dyDescent="0.25">
      <c r="A19">
        <v>18</v>
      </c>
      <c r="B19" s="1">
        <v>5.5600000000000003E-5</v>
      </c>
      <c r="C19">
        <v>138.56299999999999</v>
      </c>
      <c r="D19">
        <v>111.941</v>
      </c>
      <c r="E19">
        <v>157.38300000000001</v>
      </c>
      <c r="F19">
        <v>3.6760000000000002</v>
      </c>
    </row>
    <row r="20" spans="1:9" x14ac:dyDescent="0.25">
      <c r="A20">
        <v>19</v>
      </c>
      <c r="B20" s="1">
        <v>5.5600000000000003E-5</v>
      </c>
      <c r="C20">
        <v>148.81899999999999</v>
      </c>
      <c r="D20">
        <v>120.667</v>
      </c>
      <c r="E20">
        <v>160.38300000000001</v>
      </c>
      <c r="F20">
        <v>3.544</v>
      </c>
    </row>
    <row r="21" spans="1:9" x14ac:dyDescent="0.25">
      <c r="A21">
        <v>20</v>
      </c>
      <c r="B21" s="1">
        <v>5.5600000000000003E-5</v>
      </c>
      <c r="C21">
        <v>149.066</v>
      </c>
      <c r="D21">
        <v>124.333</v>
      </c>
      <c r="E21">
        <v>166.577</v>
      </c>
      <c r="F21">
        <v>4.22</v>
      </c>
      <c r="G21" t="s">
        <v>12</v>
      </c>
    </row>
    <row r="22" spans="1:9" x14ac:dyDescent="0.25">
      <c r="A22">
        <v>21</v>
      </c>
      <c r="B22" s="1">
        <v>5.5600000000000003E-5</v>
      </c>
      <c r="C22">
        <v>166.024</v>
      </c>
      <c r="D22">
        <v>139.33699999999999</v>
      </c>
      <c r="E22">
        <v>192.667</v>
      </c>
      <c r="F22">
        <v>4.2290000000000001</v>
      </c>
      <c r="G22" t="s">
        <v>13</v>
      </c>
      <c r="H22" t="s">
        <v>11</v>
      </c>
      <c r="I22">
        <v>4.5810000000000004</v>
      </c>
    </row>
    <row r="23" spans="1:9" x14ac:dyDescent="0.25">
      <c r="A23">
        <v>22</v>
      </c>
      <c r="B23" s="1">
        <v>6.6699999999999995E-5</v>
      </c>
      <c r="C23">
        <v>171.042</v>
      </c>
      <c r="D23">
        <v>152.965</v>
      </c>
      <c r="E23">
        <v>187</v>
      </c>
      <c r="F23">
        <v>4.5369999999999999</v>
      </c>
    </row>
    <row r="24" spans="1:9" x14ac:dyDescent="0.25">
      <c r="A24">
        <v>23</v>
      </c>
      <c r="B24" s="1">
        <v>6.6699999999999995E-5</v>
      </c>
      <c r="C24">
        <v>160.25299999999999</v>
      </c>
      <c r="D24">
        <v>138.40100000000001</v>
      </c>
      <c r="E24">
        <v>188</v>
      </c>
      <c r="F24">
        <v>4.9409999999999998</v>
      </c>
    </row>
    <row r="25" spans="1:9" x14ac:dyDescent="0.25">
      <c r="A25">
        <v>24</v>
      </c>
      <c r="B25" s="1">
        <v>6.6699999999999995E-5</v>
      </c>
      <c r="C25">
        <v>185.58</v>
      </c>
      <c r="D25">
        <v>150.667</v>
      </c>
      <c r="E25">
        <v>201.749</v>
      </c>
      <c r="F25">
        <v>4.617</v>
      </c>
      <c r="G25" t="s">
        <v>13</v>
      </c>
    </row>
    <row r="26" spans="1:9" x14ac:dyDescent="0.25">
      <c r="A26">
        <v>25</v>
      </c>
      <c r="B26" s="1">
        <v>5.5600000000000003E-5</v>
      </c>
      <c r="C26">
        <v>109.274</v>
      </c>
      <c r="D26">
        <v>82</v>
      </c>
      <c r="E26">
        <v>124.411</v>
      </c>
      <c r="F26">
        <v>3.6880000000000002</v>
      </c>
      <c r="G26" t="s">
        <v>14</v>
      </c>
      <c r="I26">
        <v>3.9177499999999998</v>
      </c>
    </row>
    <row r="27" spans="1:9" x14ac:dyDescent="0.25">
      <c r="A27">
        <v>26</v>
      </c>
      <c r="B27" s="1">
        <v>5.5600000000000003E-5</v>
      </c>
      <c r="C27">
        <v>93.024000000000001</v>
      </c>
      <c r="D27">
        <v>41.332999999999998</v>
      </c>
      <c r="E27">
        <v>139.179</v>
      </c>
      <c r="F27">
        <v>4.3819999999999997</v>
      </c>
    </row>
    <row r="28" spans="1:9" x14ac:dyDescent="0.25">
      <c r="A28">
        <v>27</v>
      </c>
      <c r="B28" s="1">
        <v>5.5600000000000003E-5</v>
      </c>
      <c r="C28">
        <v>105.45</v>
      </c>
      <c r="D28">
        <v>80</v>
      </c>
      <c r="E28">
        <v>124.13200000000001</v>
      </c>
      <c r="F28">
        <v>3.5859999999999999</v>
      </c>
    </row>
    <row r="29" spans="1:9" x14ac:dyDescent="0.25">
      <c r="A29">
        <v>28</v>
      </c>
      <c r="B29" s="1">
        <v>5.5600000000000003E-5</v>
      </c>
      <c r="C29">
        <v>106.35299999999999</v>
      </c>
      <c r="D29">
        <v>86.332999999999998</v>
      </c>
      <c r="E29">
        <v>133.001</v>
      </c>
      <c r="F29">
        <v>4.0149999999999997</v>
      </c>
      <c r="G29" t="s">
        <v>14</v>
      </c>
    </row>
    <row r="30" spans="1:9" x14ac:dyDescent="0.25">
      <c r="A30">
        <v>29</v>
      </c>
      <c r="B30" s="1">
        <v>6.6699999999999995E-5</v>
      </c>
      <c r="C30">
        <v>105.402</v>
      </c>
      <c r="D30">
        <v>83.332999999999998</v>
      </c>
      <c r="E30">
        <v>130.23099999999999</v>
      </c>
      <c r="F30">
        <v>4.8150000000000004</v>
      </c>
      <c r="G30" t="s">
        <v>15</v>
      </c>
      <c r="I30">
        <v>4.3617499999999998</v>
      </c>
    </row>
    <row r="31" spans="1:9" x14ac:dyDescent="0.25">
      <c r="A31">
        <v>30</v>
      </c>
      <c r="B31" s="1">
        <v>5.5600000000000003E-5</v>
      </c>
      <c r="C31">
        <v>92.55</v>
      </c>
      <c r="D31">
        <v>64.894999999999996</v>
      </c>
      <c r="E31">
        <v>113</v>
      </c>
      <c r="F31">
        <v>4.1609999999999996</v>
      </c>
    </row>
    <row r="32" spans="1:9" x14ac:dyDescent="0.25">
      <c r="A32">
        <v>31</v>
      </c>
      <c r="B32" s="1">
        <v>6.6699999999999995E-5</v>
      </c>
      <c r="C32">
        <v>105.425</v>
      </c>
      <c r="D32">
        <v>86</v>
      </c>
      <c r="E32">
        <v>127.16500000000001</v>
      </c>
      <c r="F32">
        <v>4.4660000000000002</v>
      </c>
    </row>
    <row r="33" spans="1:9" x14ac:dyDescent="0.25">
      <c r="A33">
        <v>32</v>
      </c>
      <c r="B33" s="1">
        <v>5.5600000000000003E-5</v>
      </c>
      <c r="C33">
        <v>102.081</v>
      </c>
      <c r="D33">
        <v>79.332999999999998</v>
      </c>
      <c r="E33">
        <v>117.34099999999999</v>
      </c>
      <c r="F33">
        <v>4.0049999999999999</v>
      </c>
      <c r="G33" t="s">
        <v>15</v>
      </c>
    </row>
    <row r="34" spans="1:9" x14ac:dyDescent="0.25">
      <c r="A34">
        <v>33</v>
      </c>
      <c r="B34" s="1">
        <v>4.4400000000000002E-5</v>
      </c>
      <c r="C34">
        <v>142.339</v>
      </c>
      <c r="D34">
        <v>123.667</v>
      </c>
      <c r="E34">
        <v>157.369</v>
      </c>
      <c r="F34">
        <v>3.4510000000000001</v>
      </c>
      <c r="G34" t="s">
        <v>16</v>
      </c>
      <c r="I34">
        <v>3.9710000000000001</v>
      </c>
    </row>
    <row r="35" spans="1:9" x14ac:dyDescent="0.25">
      <c r="A35">
        <v>34</v>
      </c>
      <c r="B35" s="1">
        <v>5.5600000000000003E-5</v>
      </c>
      <c r="C35">
        <v>134.80600000000001</v>
      </c>
      <c r="D35">
        <v>123.333</v>
      </c>
      <c r="E35">
        <v>153.99199999999999</v>
      </c>
      <c r="F35">
        <v>4.4180000000000001</v>
      </c>
    </row>
    <row r="36" spans="1:9" x14ac:dyDescent="0.25">
      <c r="A36">
        <v>35</v>
      </c>
      <c r="B36" s="1">
        <v>5.5600000000000003E-5</v>
      </c>
      <c r="C36">
        <v>142.28899999999999</v>
      </c>
      <c r="D36">
        <v>125.667</v>
      </c>
      <c r="E36">
        <v>159.76</v>
      </c>
      <c r="F36">
        <v>3.6909999999999998</v>
      </c>
    </row>
    <row r="37" spans="1:9" x14ac:dyDescent="0.25">
      <c r="A37">
        <v>36</v>
      </c>
      <c r="B37" s="1">
        <v>5.5600000000000003E-5</v>
      </c>
      <c r="C37">
        <v>146.52500000000001</v>
      </c>
      <c r="D37">
        <v>132.333</v>
      </c>
      <c r="E37">
        <v>156.34800000000001</v>
      </c>
      <c r="F37">
        <v>4.3239999999999998</v>
      </c>
      <c r="G37" t="s">
        <v>16</v>
      </c>
    </row>
    <row r="38" spans="1:9" x14ac:dyDescent="0.25">
      <c r="A38">
        <v>37</v>
      </c>
      <c r="B38" s="1">
        <v>5.5600000000000003E-5</v>
      </c>
      <c r="C38">
        <v>129.15199999999999</v>
      </c>
      <c r="D38">
        <v>114.333</v>
      </c>
      <c r="E38">
        <v>145.21100000000001</v>
      </c>
      <c r="F38">
        <v>4.1050000000000004</v>
      </c>
      <c r="G38" t="s">
        <v>17</v>
      </c>
      <c r="I38">
        <v>3.8580000000000001</v>
      </c>
    </row>
    <row r="39" spans="1:9" x14ac:dyDescent="0.25">
      <c r="A39">
        <v>38</v>
      </c>
      <c r="B39" s="1">
        <v>5.5600000000000003E-5</v>
      </c>
      <c r="C39">
        <v>133.102</v>
      </c>
      <c r="D39">
        <v>100.333</v>
      </c>
      <c r="E39">
        <v>159.79499999999999</v>
      </c>
      <c r="F39">
        <v>3.794</v>
      </c>
    </row>
    <row r="40" spans="1:9" x14ac:dyDescent="0.25">
      <c r="A40">
        <v>39</v>
      </c>
      <c r="B40" s="1">
        <v>5.5600000000000003E-5</v>
      </c>
      <c r="C40">
        <v>118.994</v>
      </c>
      <c r="D40">
        <v>86.150999999999996</v>
      </c>
      <c r="E40">
        <v>148.54499999999999</v>
      </c>
      <c r="F40">
        <v>3.8620000000000001</v>
      </c>
    </row>
    <row r="41" spans="1:9" x14ac:dyDescent="0.25">
      <c r="A41">
        <v>40</v>
      </c>
      <c r="B41" s="1">
        <v>5.5600000000000003E-5</v>
      </c>
      <c r="C41">
        <v>124.324</v>
      </c>
      <c r="D41">
        <v>99.391999999999996</v>
      </c>
      <c r="E41">
        <v>169.31</v>
      </c>
      <c r="F41">
        <v>3.6709999999999998</v>
      </c>
      <c r="G41" t="s">
        <v>17</v>
      </c>
    </row>
    <row r="42" spans="1:9" x14ac:dyDescent="0.25">
      <c r="A42">
        <v>41</v>
      </c>
      <c r="B42" s="1">
        <v>6.6669999999999997E-5</v>
      </c>
      <c r="C42">
        <v>101.21299999999999</v>
      </c>
      <c r="D42">
        <v>76.667000000000002</v>
      </c>
      <c r="E42">
        <v>122.696</v>
      </c>
      <c r="F42">
        <v>4.6890000000000001</v>
      </c>
      <c r="G42" t="s">
        <v>18</v>
      </c>
      <c r="H42" t="s">
        <v>11</v>
      </c>
      <c r="I42">
        <f>AVERAGE(F42:F45)</f>
        <v>4.4320000000000004</v>
      </c>
    </row>
    <row r="43" spans="1:9" x14ac:dyDescent="0.25">
      <c r="A43">
        <v>42</v>
      </c>
      <c r="B43" s="1">
        <v>6.6669999999999997E-5</v>
      </c>
      <c r="C43">
        <v>99.54</v>
      </c>
      <c r="D43">
        <v>52.908000000000001</v>
      </c>
      <c r="E43">
        <v>129.66300000000001</v>
      </c>
      <c r="F43">
        <v>4.585</v>
      </c>
    </row>
    <row r="44" spans="1:9" x14ac:dyDescent="0.25">
      <c r="A44">
        <v>43</v>
      </c>
      <c r="B44" s="1">
        <v>5.5560000000000003E-5</v>
      </c>
      <c r="C44">
        <v>109.46</v>
      </c>
      <c r="D44">
        <v>100.985</v>
      </c>
      <c r="E44">
        <v>118.62</v>
      </c>
      <c r="F44">
        <v>3.9279999999999999</v>
      </c>
    </row>
    <row r="45" spans="1:9" x14ac:dyDescent="0.25">
      <c r="A45">
        <v>44</v>
      </c>
      <c r="B45" s="1">
        <v>6.6669999999999997E-5</v>
      </c>
      <c r="C45">
        <v>107.492</v>
      </c>
      <c r="D45">
        <v>83</v>
      </c>
      <c r="E45">
        <v>125.67400000000001</v>
      </c>
      <c r="F45">
        <v>4.5259999999999998</v>
      </c>
      <c r="G45" t="s">
        <v>18</v>
      </c>
    </row>
    <row r="46" spans="1:9" x14ac:dyDescent="0.25">
      <c r="A46">
        <v>45</v>
      </c>
      <c r="B46" s="1">
        <v>6.6699999999999995E-5</v>
      </c>
      <c r="C46">
        <v>125.09099999999999</v>
      </c>
      <c r="D46">
        <v>83.435000000000002</v>
      </c>
      <c r="E46">
        <v>162.959</v>
      </c>
      <c r="F46">
        <v>4.6840000000000002</v>
      </c>
      <c r="G46" t="s">
        <v>19</v>
      </c>
      <c r="H46" t="s">
        <v>11</v>
      </c>
      <c r="I46">
        <v>3.9512499999999999</v>
      </c>
    </row>
    <row r="47" spans="1:9" x14ac:dyDescent="0.25">
      <c r="A47">
        <v>46</v>
      </c>
      <c r="B47" s="1">
        <v>5.5600000000000003E-5</v>
      </c>
      <c r="C47">
        <v>143.70599999999999</v>
      </c>
      <c r="D47">
        <v>122.667</v>
      </c>
      <c r="E47">
        <v>168.45</v>
      </c>
      <c r="F47">
        <v>3.6619999999999999</v>
      </c>
    </row>
    <row r="48" spans="1:9" x14ac:dyDescent="0.25">
      <c r="A48">
        <v>47</v>
      </c>
      <c r="B48" s="1">
        <v>5.5600000000000003E-5</v>
      </c>
      <c r="C48">
        <v>148.96100000000001</v>
      </c>
      <c r="D48">
        <v>114</v>
      </c>
      <c r="E48">
        <v>164.333</v>
      </c>
      <c r="F48">
        <v>3.4260000000000002</v>
      </c>
    </row>
    <row r="49" spans="1:9" x14ac:dyDescent="0.25">
      <c r="A49">
        <v>48</v>
      </c>
      <c r="B49" s="1">
        <v>5.5600000000000003E-5</v>
      </c>
      <c r="C49">
        <v>134.386</v>
      </c>
      <c r="D49">
        <v>93.727999999999994</v>
      </c>
      <c r="E49">
        <v>154.535</v>
      </c>
      <c r="F49">
        <v>4.0330000000000004</v>
      </c>
      <c r="G49" t="s">
        <v>19</v>
      </c>
    </row>
    <row r="50" spans="1:9" x14ac:dyDescent="0.25">
      <c r="A50">
        <v>49</v>
      </c>
      <c r="B50" s="1">
        <v>5.5560000000000003E-5</v>
      </c>
      <c r="C50">
        <v>116.96599999999999</v>
      </c>
      <c r="D50">
        <v>103.932</v>
      </c>
      <c r="E50">
        <v>139.667</v>
      </c>
      <c r="F50">
        <v>3.6219999999999999</v>
      </c>
      <c r="G50" t="s">
        <v>21</v>
      </c>
      <c r="I50">
        <f>AVERAGE(F50:F53)</f>
        <v>4.0214999999999996</v>
      </c>
    </row>
    <row r="51" spans="1:9" x14ac:dyDescent="0.25">
      <c r="A51">
        <v>50</v>
      </c>
      <c r="B51" s="1">
        <v>5.5560000000000003E-5</v>
      </c>
      <c r="C51">
        <v>110.508</v>
      </c>
      <c r="D51">
        <v>93</v>
      </c>
      <c r="E51">
        <v>122.642</v>
      </c>
      <c r="F51">
        <v>4.117</v>
      </c>
    </row>
    <row r="52" spans="1:9" x14ac:dyDescent="0.25">
      <c r="A52">
        <v>51</v>
      </c>
      <c r="B52" s="1">
        <v>5.5560000000000003E-5</v>
      </c>
      <c r="C52">
        <v>101.33</v>
      </c>
      <c r="D52">
        <v>89.81</v>
      </c>
      <c r="E52">
        <v>110.54600000000001</v>
      </c>
      <c r="F52">
        <v>4.0750000000000002</v>
      </c>
    </row>
    <row r="53" spans="1:9" x14ac:dyDescent="0.25">
      <c r="A53">
        <v>52</v>
      </c>
      <c r="B53" s="1">
        <v>5.5560000000000003E-5</v>
      </c>
      <c r="C53">
        <v>113.363</v>
      </c>
      <c r="D53">
        <v>91.332999999999998</v>
      </c>
      <c r="E53">
        <v>154.333</v>
      </c>
      <c r="F53">
        <v>4.2720000000000002</v>
      </c>
      <c r="G53" t="s">
        <v>21</v>
      </c>
    </row>
  </sheetData>
  <autoFilter ref="A1:I5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"/>
  <sheetViews>
    <sheetView workbookViewId="0">
      <selection activeCell="B5" sqref="B5"/>
    </sheetView>
  </sheetViews>
  <sheetFormatPr defaultRowHeight="15" x14ac:dyDescent="0.25"/>
  <cols>
    <col min="1" max="1" width="13.28515625" bestFit="1" customWidth="1"/>
    <col min="2" max="2" width="25" bestFit="1" customWidth="1"/>
  </cols>
  <sheetData>
    <row r="3" spans="1:2" x14ac:dyDescent="0.25">
      <c r="A3" s="2" t="s">
        <v>22</v>
      </c>
      <c r="B3" t="s">
        <v>26</v>
      </c>
    </row>
    <row r="4" spans="1:2" x14ac:dyDescent="0.25">
      <c r="A4" t="s">
        <v>23</v>
      </c>
      <c r="B4" s="3">
        <v>3.9967999999999995</v>
      </c>
    </row>
    <row r="5" spans="1:2" x14ac:dyDescent="0.25">
      <c r="A5" t="s">
        <v>24</v>
      </c>
      <c r="B5" s="3">
        <v>4.1300625000000011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H11" sqref="H11"/>
    </sheetView>
  </sheetViews>
  <sheetFormatPr defaultRowHeight="15" x14ac:dyDescent="0.25"/>
  <cols>
    <col min="4" max="4" width="18.85546875" customWidth="1"/>
  </cols>
  <sheetData>
    <row r="1" spans="1:6" x14ac:dyDescent="0.25">
      <c r="A1" t="s">
        <v>20</v>
      </c>
      <c r="B1" t="s">
        <v>25</v>
      </c>
      <c r="C1" t="s">
        <v>6</v>
      </c>
      <c r="D1" t="s">
        <v>22</v>
      </c>
      <c r="E1" t="s">
        <v>27</v>
      </c>
      <c r="F1" t="s">
        <v>28</v>
      </c>
    </row>
    <row r="2" spans="1:6" x14ac:dyDescent="0.25">
      <c r="A2" t="s">
        <v>12</v>
      </c>
      <c r="C2">
        <v>3.8042500000000001</v>
      </c>
      <c r="D2" s="4" t="s">
        <v>24</v>
      </c>
      <c r="E2">
        <f ca="1">RAND()</f>
        <v>0.23726086243585709</v>
      </c>
      <c r="F2" t="s">
        <v>29</v>
      </c>
    </row>
    <row r="3" spans="1:6" x14ac:dyDescent="0.25">
      <c r="A3" t="s">
        <v>13</v>
      </c>
      <c r="B3" t="s">
        <v>11</v>
      </c>
      <c r="C3">
        <v>4.5810000000000004</v>
      </c>
      <c r="D3" s="4" t="s">
        <v>24</v>
      </c>
      <c r="E3">
        <f ca="1">RAND()</f>
        <v>0.13461519355173202</v>
      </c>
      <c r="F3" t="s">
        <v>30</v>
      </c>
    </row>
    <row r="4" spans="1:6" x14ac:dyDescent="0.25">
      <c r="A4" t="s">
        <v>9</v>
      </c>
      <c r="C4">
        <v>3.86225</v>
      </c>
      <c r="D4" t="s">
        <v>23</v>
      </c>
      <c r="E4">
        <f ca="1">RAND()</f>
        <v>0.46304175080694776</v>
      </c>
      <c r="F4" t="s">
        <v>29</v>
      </c>
    </row>
    <row r="5" spans="1:6" x14ac:dyDescent="0.25">
      <c r="A5" t="s">
        <v>10</v>
      </c>
      <c r="B5" t="s">
        <v>11</v>
      </c>
      <c r="C5">
        <v>4.6317500000000003</v>
      </c>
      <c r="D5" t="s">
        <v>23</v>
      </c>
      <c r="E5">
        <f ca="1">RAND()</f>
        <v>0.20882743590463027</v>
      </c>
      <c r="F5" t="s">
        <v>29</v>
      </c>
    </row>
    <row r="6" spans="1:6" x14ac:dyDescent="0.25">
      <c r="A6" t="s">
        <v>15</v>
      </c>
      <c r="C6">
        <v>4.3617499999999998</v>
      </c>
      <c r="D6" s="4" t="s">
        <v>24</v>
      </c>
      <c r="E6">
        <f ca="1">RAND()</f>
        <v>0.29427139850042972</v>
      </c>
      <c r="F6" t="s">
        <v>29</v>
      </c>
    </row>
    <row r="7" spans="1:6" x14ac:dyDescent="0.25">
      <c r="A7" t="s">
        <v>16</v>
      </c>
      <c r="C7">
        <v>3.9710000000000001</v>
      </c>
      <c r="D7" s="4" t="s">
        <v>24</v>
      </c>
      <c r="E7">
        <f ca="1">RAND()</f>
        <v>0.7970226666589354</v>
      </c>
      <c r="F7" t="s">
        <v>29</v>
      </c>
    </row>
    <row r="8" spans="1:6" x14ac:dyDescent="0.25">
      <c r="A8" t="s">
        <v>18</v>
      </c>
      <c r="B8" t="s">
        <v>11</v>
      </c>
      <c r="C8">
        <v>4.4320000000000004</v>
      </c>
      <c r="D8" s="4" t="s">
        <v>24</v>
      </c>
      <c r="E8">
        <f ca="1">RAND()</f>
        <v>0.43100658638633782</v>
      </c>
      <c r="F8" t="s">
        <v>30</v>
      </c>
    </row>
    <row r="9" spans="1:6" x14ac:dyDescent="0.25">
      <c r="A9" t="s">
        <v>14</v>
      </c>
      <c r="C9">
        <v>3.9177499999999998</v>
      </c>
      <c r="D9" s="4" t="s">
        <v>24</v>
      </c>
      <c r="E9">
        <f ca="1">RAND()</f>
        <v>0.42989495538874523</v>
      </c>
      <c r="F9" t="s">
        <v>29</v>
      </c>
    </row>
    <row r="10" spans="1:6" x14ac:dyDescent="0.25">
      <c r="A10" t="s">
        <v>7</v>
      </c>
      <c r="C10">
        <v>4.1334999999999997</v>
      </c>
      <c r="D10" t="s">
        <v>23</v>
      </c>
      <c r="E10">
        <f ca="1">RAND()</f>
        <v>0.90553549745689332</v>
      </c>
      <c r="F10" t="s">
        <v>29</v>
      </c>
    </row>
    <row r="11" spans="1:6" x14ac:dyDescent="0.25">
      <c r="A11" t="s">
        <v>21</v>
      </c>
      <c r="C11">
        <v>4.0214999999999996</v>
      </c>
      <c r="D11" s="4" t="s">
        <v>24</v>
      </c>
      <c r="E11">
        <f ca="1">RAND()</f>
        <v>0.97029934611580448</v>
      </c>
      <c r="F11" t="s">
        <v>29</v>
      </c>
    </row>
    <row r="12" spans="1:6" x14ac:dyDescent="0.25">
      <c r="A12" t="s">
        <v>8</v>
      </c>
      <c r="C12">
        <v>3.4984999999999999</v>
      </c>
      <c r="D12" t="s">
        <v>23</v>
      </c>
      <c r="E12">
        <f ca="1">RAND()</f>
        <v>6.1016247443127281E-2</v>
      </c>
      <c r="F12" t="s">
        <v>29</v>
      </c>
    </row>
    <row r="13" spans="1:6" x14ac:dyDescent="0.25">
      <c r="A13" t="s">
        <v>19</v>
      </c>
      <c r="B13" t="s">
        <v>11</v>
      </c>
      <c r="C13">
        <v>3.9512499999999999</v>
      </c>
      <c r="D13" s="4" t="s">
        <v>24</v>
      </c>
      <c r="E13">
        <f ca="1">RAND()</f>
        <v>0.48246246860652164</v>
      </c>
      <c r="F13" t="s">
        <v>30</v>
      </c>
    </row>
    <row r="14" spans="1:6" x14ac:dyDescent="0.25">
      <c r="A14" t="s">
        <v>17</v>
      </c>
      <c r="C14">
        <v>3.8580000000000001</v>
      </c>
      <c r="D14" t="s">
        <v>23</v>
      </c>
      <c r="E14">
        <f ca="1">RAND()</f>
        <v>0.20613983635172306</v>
      </c>
      <c r="F14" t="s">
        <v>29</v>
      </c>
    </row>
  </sheetData>
  <autoFilter ref="A1:D14"/>
  <sortState xmlns:xlrd2="http://schemas.microsoft.com/office/spreadsheetml/2017/richdata2" ref="A2:E14">
    <sortCondition ref="E2:E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Results_OvariesAvil</vt:lpstr>
      <vt:lpstr>Sheet2</vt:lpstr>
      <vt:lpstr>ToUse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Majoe, Megha</dc:creator>
  <cp:lastModifiedBy>Majoe, Megha</cp:lastModifiedBy>
  <dcterms:created xsi:type="dcterms:W3CDTF">2022-10-28T08:20:33Z</dcterms:created>
  <dcterms:modified xsi:type="dcterms:W3CDTF">2022-10-28T13:08:27Z</dcterms:modified>
</cp:coreProperties>
</file>